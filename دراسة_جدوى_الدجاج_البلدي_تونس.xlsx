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فرضيات" sheetId="2" state="visible" r:id="rId2"/>
    <sheet name="الاستثمار" sheetId="3" state="visible" r:id="rId3"/>
    <sheet name="التشغيل" sheetId="4" state="visible" r:id="rId4"/>
    <sheet name="السيناريوهات" sheetId="5" state="visible" r:id="rId5"/>
    <sheet name="الصحة" sheetId="6" state="visible" r:id="rId6"/>
    <sheet name="الفني" sheetId="7" state="visible" r:id="rId7"/>
    <sheet name="الفقس" sheetId="8" state="visible" r:id="rId8"/>
    <sheet name="التغذي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 &quot;د.ت&quot;"/>
    <numFmt numFmtId="165" formatCode="0.0 &quot;سنة&quot;"/>
    <numFmt numFmtId="166" formatCode="#,##0.00 &quot;د.ت&quot;"/>
    <numFmt numFmtId="167" formatCode="0.0"/>
    <numFmt numFmtId="168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6B3B"/>
      <sz val="11"/>
    </font>
    <font>
      <sz val="11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6B3B"/>
      </patternFill>
    </fill>
    <fill>
      <patternFill patternType="solid">
        <fgColor rgb="00E8F3E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9CB8A6"/>
      </left>
      <right style="thin">
        <color rgb="009CB8A6"/>
      </right>
      <top style="thin">
        <color rgb="009CB8A6"/>
      </top>
      <bottom style="thin">
        <color rgb="009CB8A6"/>
      </bottom>
    </border>
    <border>
      <left/>
      <right/>
      <top style="thin">
        <color rgb="009CB8A6"/>
      </top>
      <bottom/>
      <diagonal/>
    </border>
    <border>
      <left/>
      <right style="thin">
        <color rgb="009CB8A6"/>
      </right>
      <top style="thin">
        <color rgb="009CB8A6"/>
      </top>
      <bottom/>
      <diagonal/>
    </border>
    <border>
      <left/>
      <right/>
      <top style="thin">
        <color rgb="009CB8A6"/>
      </top>
      <bottom style="thin">
        <color rgb="009CB8A6"/>
      </bottom>
      <diagonal/>
    </border>
    <border>
      <left/>
      <right style="thin">
        <color rgb="009CB8A6"/>
      </right>
      <top style="thin">
        <color rgb="009CB8A6"/>
      </top>
      <bottom style="thin">
        <color rgb="009CB8A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5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164" fontId="4" fillId="5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165" fontId="4" fillId="5" borderId="1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2" fillId="6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3" fontId="4" fillId="4" borderId="1" applyAlignment="1" pivotButton="0" quotePrefix="0" xfId="0">
      <alignment horizontal="center" vertical="center" wrapText="1" readingOrder="2"/>
    </xf>
    <xf numFmtId="9" fontId="4" fillId="4" borderId="1" applyAlignment="1" pivotButton="0" quotePrefix="0" xfId="0">
      <alignment horizontal="center" vertical="center" wrapText="1" readingOrder="2"/>
    </xf>
    <xf numFmtId="0" fontId="5" fillId="2" borderId="1" applyAlignment="1" pivotButton="0" quotePrefix="0" xfId="0">
      <alignment horizontal="center" vertical="center" wrapText="1" readingOrder="2"/>
    </xf>
    <xf numFmtId="3" fontId="3" fillId="0" borderId="1" applyAlignment="1" pivotButton="0" quotePrefix="0" xfId="0">
      <alignment horizontal="center" vertical="center" wrapText="1" readingOrder="2"/>
    </xf>
    <xf numFmtId="164" fontId="4" fillId="0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164" fontId="4" fillId="3" borderId="1" applyAlignment="1" pivotButton="0" quotePrefix="0" xfId="0">
      <alignment horizontal="right" vertical="center" wrapText="1" readingOrder="2"/>
    </xf>
    <xf numFmtId="164" fontId="5" fillId="2" borderId="1" applyAlignment="1" pivotButton="0" quotePrefix="0" xfId="0">
      <alignment horizontal="right" vertical="center" wrapText="1" readingOrder="2"/>
    </xf>
    <xf numFmtId="164" fontId="3" fillId="0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3" fillId="5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3" fontId="5" fillId="2" borderId="1" applyAlignment="1" pivotButton="0" quotePrefix="0" xfId="0">
      <alignment horizontal="center" vertical="center" wrapText="1" readingOrder="2"/>
    </xf>
    <xf numFmtId="164" fontId="5" fillId="2" borderId="1" applyAlignment="1" pivotButton="0" quotePrefix="0" xfId="0">
      <alignment horizontal="center" vertical="center" wrapText="1" readingOrder="2"/>
    </xf>
    <xf numFmtId="164" fontId="3" fillId="5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166" fontId="4" fillId="4" borderId="1" applyAlignment="1" pivotButton="0" quotePrefix="0" xfId="0">
      <alignment horizontal="center" vertical="center" wrapText="1" readingOrder="2"/>
    </xf>
    <xf numFmtId="167" fontId="4" fillId="4" borderId="1" applyAlignment="1" pivotButton="0" quotePrefix="0" xfId="0">
      <alignment horizontal="center" vertical="center" wrapText="1" readingOrder="2"/>
    </xf>
    <xf numFmtId="166" fontId="3" fillId="0" borderId="1" applyAlignment="1" pivotButton="0" quotePrefix="0" xfId="0">
      <alignment horizontal="center" vertical="center" wrapText="1" readingOrder="2"/>
    </xf>
    <xf numFmtId="168" fontId="3" fillId="0" borderId="1" applyAlignment="1" pivotButton="0" quotePrefix="0" xfId="0">
      <alignment horizontal="center" vertical="center" wrapText="1" readingOrder="2"/>
    </xf>
    <xf numFmtId="167" fontId="4" fillId="3" borderId="1" applyAlignment="1" pivotButton="0" quotePrefix="0" xfId="0">
      <alignment horizontal="center" vertical="center" wrapText="1" readingOrder="2"/>
    </xf>
    <xf numFmtId="166" fontId="4" fillId="3" borderId="1" applyAlignment="1" pivotButton="0" quotePrefix="0" xfId="0">
      <alignment horizontal="center" vertical="center" wrapText="1" readingOrder="2"/>
    </xf>
    <xf numFmtId="168" fontId="4" fillId="3" borderId="1" applyAlignment="1" pivotButton="0" quotePrefix="0" xfId="0">
      <alignment horizontal="center" vertical="center" wrapText="1" readingOrder="2"/>
    </xf>
    <xf numFmtId="166" fontId="4" fillId="5" borderId="1" applyAlignment="1" pivotButton="0" quotePrefix="0" xfId="0">
      <alignment horizontal="center" vertical="center" wrapText="1" readingOrder="2"/>
    </xf>
    <xf numFmtId="3" fontId="4" fillId="5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rightToLeft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0" customWidth="1" min="3" max="3"/>
  </cols>
  <sheetData>
    <row r="1" ht="26" customHeight="1">
      <c r="A1" s="1" t="inlineStr">
        <is>
          <t>دراسة جدوى — مشروع 30 دجاجة بلدية + 3 سرادك (تونس)</t>
        </is>
      </c>
    </row>
    <row r="3">
      <c r="A3" s="2" t="inlineStr">
        <is>
          <t>المؤشر</t>
        </is>
      </c>
      <c r="B3" s="2" t="inlineStr">
        <is>
          <t>القيمة</t>
        </is>
      </c>
      <c r="C3" s="2" t="inlineStr">
        <is>
          <t>ملاحظة</t>
        </is>
      </c>
    </row>
    <row r="4">
      <c r="A4" s="3" t="inlineStr">
        <is>
          <t>إجمالي الاستثمار</t>
        </is>
      </c>
      <c r="B4" s="4">
        <f>'الاستثمار'!D14</f>
        <v/>
      </c>
      <c r="C4" s="5" t="inlineStr">
        <is>
          <t>عتاق + بناء + تجهيزات + احتياطي</t>
        </is>
      </c>
    </row>
    <row r="5">
      <c r="A5" s="3" t="inlineStr">
        <is>
          <t>التكاليف التشغيلية س1</t>
        </is>
      </c>
      <c r="B5" s="4">
        <f>'التشغيل'!B22</f>
        <v/>
      </c>
      <c r="C5" s="5" t="inlineStr">
        <is>
          <t>العلف ≈ 80% منها</t>
        </is>
      </c>
    </row>
    <row r="6">
      <c r="A6" s="3" t="inlineStr">
        <is>
          <t>الإيراد النقدي س1</t>
        </is>
      </c>
      <c r="B6" s="4">
        <f>'التشغيل'!B29</f>
        <v/>
      </c>
      <c r="C6" s="5" t="inlineStr">
        <is>
          <t>بيض + وضعيات + ديكارول</t>
        </is>
      </c>
    </row>
    <row r="7">
      <c r="A7" s="3" t="inlineStr">
        <is>
          <t>الصافي النقدي س1</t>
        </is>
      </c>
      <c r="B7" s="4">
        <f>'التشغيل'!B34</f>
        <v/>
      </c>
      <c r="C7" s="5" t="inlineStr">
        <is>
          <t>سنة تأسيس</t>
        </is>
      </c>
    </row>
    <row r="8">
      <c r="A8" s="3" t="inlineStr">
        <is>
          <t>الصافي الاقتصادي س1</t>
        </is>
      </c>
      <c r="B8" s="4">
        <f>'التشغيل'!B35</f>
        <v/>
      </c>
      <c r="C8" s="5" t="inlineStr">
        <is>
          <t>مع الاستهلاك الذاتي</t>
        </is>
      </c>
    </row>
    <row r="9">
      <c r="A9" s="3" t="inlineStr">
        <is>
          <t>الصافي النقدي س2</t>
        </is>
      </c>
      <c r="B9" s="4">
        <f>'التشغيل'!C34</f>
        <v/>
      </c>
      <c r="C9" s="5" t="inlineStr"/>
    </row>
    <row r="10">
      <c r="A10" s="3" t="inlineStr">
        <is>
          <t>الصافي الاقتصادي س2</t>
        </is>
      </c>
      <c r="B10" s="4">
        <f>'التشغيل'!C35</f>
        <v/>
      </c>
      <c r="C10" s="5" t="inlineStr"/>
    </row>
    <row r="11">
      <c r="A11" s="3" t="inlineStr">
        <is>
          <t>مدة الاسترداد</t>
        </is>
      </c>
      <c r="B11" s="6">
        <f>'التشغيل'!B38</f>
        <v/>
      </c>
      <c r="C11" s="5" t="inlineStr">
        <is>
          <t>على الأساس الاقتصادي</t>
        </is>
      </c>
    </row>
    <row r="13">
      <c r="A13" s="2" t="inlineStr">
        <is>
          <t>خلاصة الخبير</t>
        </is>
      </c>
      <c r="B13" s="7" t="n"/>
      <c r="C13" s="7" t="n"/>
    </row>
    <row r="14" ht="30" customHeight="1">
      <c r="A14" s="5" t="inlineStr">
        <is>
          <t>1) المشروع سليم اقتصادياً — دخل مكمّل في هذا الحجم، بمخاطرة منخفضة.</t>
        </is>
      </c>
    </row>
    <row r="15" ht="30" customHeight="1">
      <c r="A15" s="5" t="inlineStr">
        <is>
          <t>2) أعلى ربحية: كتاكيت ووضحيات في الربيع ورمضان؛ ديكارول عتاق قبل الأعياد (35–45 د.ت).</t>
        </is>
      </c>
    </row>
    <row r="16" ht="30" customHeight="1">
      <c r="A16" s="5" t="inlineStr">
        <is>
          <t>3) شرط النجاح: الخلط المنزلي (توفير ≈1800 د.ت/سنة) — الجاهز يكاد يُصفي الربح.</t>
        </is>
      </c>
    </row>
    <row r="17" ht="30" customHeight="1">
      <c r="A17" s="5" t="inlineStr">
        <is>
          <t>4) حدّث الأسعار من سوقك في ورقة الفرضيات.</t>
        </is>
      </c>
    </row>
    <row r="18" ht="30" customHeight="1">
      <c r="A18" s="5" t="inlineStr">
        <is>
          <t>5) أنفلونزا الطيور: أمن حيوي وإبلاغ فوري (CRDA/OVR) وسجّل القطيع للقاحات مدعمة.</t>
        </is>
      </c>
    </row>
    <row r="19" ht="30" customHeight="1">
      <c r="A19" s="5" t="inlineStr">
        <is>
          <t>6) التوسعة: فقاسة 50–100 بيضة بعد سنة لبيع كتاكيت عمر يوم.</t>
        </is>
      </c>
    </row>
    <row r="21">
      <c r="A21" s="8" t="inlineStr">
        <is>
          <t>الخلايا الزرقاء قابلة للتعديل — كل الأرقام تتحدث تلقائياً.</t>
        </is>
      </c>
      <c r="B21" s="9" t="n"/>
      <c r="C21" s="10" t="n"/>
    </row>
  </sheetData>
  <mergeCells count="8">
    <mergeCell ref="A19:C19"/>
    <mergeCell ref="A1:C1"/>
    <mergeCell ref="A14:C14"/>
    <mergeCell ref="A17:C17"/>
    <mergeCell ref="A18:C18"/>
    <mergeCell ref="A21:C21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46" customWidth="1" min="4" max="4"/>
  </cols>
  <sheetData>
    <row r="1" ht="26" customHeight="1">
      <c r="A1" s="1" t="inlineStr">
        <is>
          <t>الفرضيات — عدّل الخلايا الزرقاء فقط وستتحدث كل النتائج تلقائياً</t>
        </is>
      </c>
    </row>
    <row r="3">
      <c r="A3" s="11" t="inlineStr">
        <is>
          <t>أسعار الشراء والبيع (استرشادية 2026 — تحقق منها في سوقك)</t>
        </is>
      </c>
      <c r="B3" s="12" t="n"/>
      <c r="C3" s="12" t="n"/>
      <c r="D3" s="12" t="n"/>
    </row>
    <row r="4">
      <c r="A4" s="5" t="inlineStr">
        <is>
          <t>سعر شراء الدجاجة العتاقة</t>
        </is>
      </c>
      <c r="B4" s="13" t="n">
        <v>30</v>
      </c>
      <c r="C4" s="14" t="inlineStr">
        <is>
          <t>د.ت</t>
        </is>
      </c>
      <c r="D4" s="5" t="inlineStr">
        <is>
          <t>المدى 25–40 د.ت (يرتفع في الربيع)</t>
        </is>
      </c>
    </row>
    <row r="5">
      <c r="A5" s="5" t="inlineStr">
        <is>
          <t>سعر شراء السردوك العتاق</t>
        </is>
      </c>
      <c r="B5" s="13" t="n">
        <v>45</v>
      </c>
      <c r="C5" s="14" t="inlineStr">
        <is>
          <t>د.ت</t>
        </is>
      </c>
      <c r="D5" s="5" t="inlineStr">
        <is>
          <t>المدى 40–60 د.ت</t>
        </is>
      </c>
    </row>
    <row r="6">
      <c r="A6" s="5" t="inlineStr">
        <is>
          <t>سعر بيع البيضة البلدية</t>
        </is>
      </c>
      <c r="B6" s="13" t="n">
        <v>0.6</v>
      </c>
      <c r="C6" s="14" t="inlineStr">
        <is>
          <t>د.ت</t>
        </is>
      </c>
      <c r="D6" s="5" t="inlineStr">
        <is>
          <t>0.5–0.8 د.ت (ضعف التجاري)</t>
        </is>
      </c>
    </row>
    <row r="7">
      <c r="A7" s="5" t="inlineStr">
        <is>
          <t>سعر بيع الوضحية (3–4 أشهر)</t>
        </is>
      </c>
      <c r="B7" s="13" t="n">
        <v>12</v>
      </c>
      <c r="C7" s="14" t="inlineStr">
        <is>
          <t>د.ت</t>
        </is>
      </c>
      <c r="D7" s="5" t="inlineStr">
        <is>
          <t>طلب مرتفع في الربيع ورمضان</t>
        </is>
      </c>
    </row>
    <row r="8">
      <c r="A8" s="5" t="inlineStr">
        <is>
          <t>سعر بيع الديكرول (4–6 أشهر)</t>
        </is>
      </c>
      <c r="B8" s="13" t="n">
        <v>20</v>
      </c>
      <c r="C8" s="14" t="inlineStr">
        <is>
          <t>د.ت</t>
        </is>
      </c>
      <c r="D8" s="5" t="inlineStr">
        <is>
          <t>عتاق يُباع 35–45 قبل الأعياد</t>
        </is>
      </c>
    </row>
    <row r="9">
      <c r="A9" s="5" t="inlineStr">
        <is>
          <t>سعر بيع المستصالحة</t>
        </is>
      </c>
      <c r="B9" s="13" t="n">
        <v>22</v>
      </c>
      <c r="C9" s="14" t="inlineStr">
        <is>
          <t>د.ت</t>
        </is>
      </c>
      <c r="D9" s="5" t="inlineStr">
        <is>
          <t>الدجاجة العجوز</t>
        </is>
      </c>
    </row>
    <row r="10">
      <c r="A10" s="5" t="inlineStr">
        <is>
          <t>سعر علف البالغين</t>
        </is>
      </c>
      <c r="B10" s="13" t="n">
        <v>1.2</v>
      </c>
      <c r="C10" s="14" t="inlineStr">
        <is>
          <t>د.ت/كغ</t>
        </is>
      </c>
      <c r="D10" s="5" t="inlineStr">
        <is>
          <t>خلطة منزلية (انظر ورقة التغذية)</t>
        </is>
      </c>
    </row>
    <row r="11">
      <c r="A11" s="5" t="inlineStr">
        <is>
          <t>سعر علف الفتيان</t>
        </is>
      </c>
      <c r="B11" s="13" t="n">
        <v>1.4</v>
      </c>
      <c r="C11" s="14" t="inlineStr">
        <is>
          <t>د.ت/كغ</t>
        </is>
      </c>
      <c r="D11" s="5" t="inlineStr">
        <is>
          <t>خلطة بادئ منزلية</t>
        </is>
      </c>
    </row>
    <row r="12">
      <c r="A12" s="11" t="inlineStr">
        <is>
          <t>معطيات القطيع والإنتاج</t>
        </is>
      </c>
      <c r="B12" s="12" t="n"/>
      <c r="C12" s="12" t="n"/>
      <c r="D12" s="12" t="n"/>
    </row>
    <row r="13">
      <c r="A13" s="5" t="inlineStr">
        <is>
          <t>عدد الدجاج</t>
        </is>
      </c>
      <c r="B13" s="15" t="n">
        <v>30</v>
      </c>
      <c r="C13" s="14" t="inlineStr">
        <is>
          <t>دجاجة</t>
        </is>
      </c>
      <c r="D13" s="5" t="inlineStr">
        <is>
          <t>عنبر 8–10 م² + مشية 70–100 م²</t>
        </is>
      </c>
    </row>
    <row r="14">
      <c r="A14" s="5" t="inlineStr">
        <is>
          <t>عدد السرادك</t>
        </is>
      </c>
      <c r="B14" s="15" t="n">
        <v>3</v>
      </c>
      <c r="C14" s="14" t="inlineStr">
        <is>
          <t>سردوك</t>
        </is>
      </c>
      <c r="D14" s="5" t="inlineStr">
        <is>
          <t>نسبة 1:10 للخصوبة</t>
        </is>
      </c>
    </row>
    <row r="15">
      <c r="A15" s="5" t="inlineStr">
        <is>
          <t>نفوق البالغين سنوياً</t>
        </is>
      </c>
      <c r="B15" s="16" t="n">
        <v>0.05</v>
      </c>
      <c r="C15" s="14" t="inlineStr">
        <is>
          <t>%</t>
        </is>
      </c>
      <c r="D15" s="5" t="inlineStr">
        <is>
          <t>مع تحصينات وأمن حيوي</t>
        </is>
      </c>
    </row>
    <row r="16">
      <c r="A16" s="5" t="inlineStr">
        <is>
          <t>إنتاج البيض/دجاجة/سنة</t>
        </is>
      </c>
      <c r="B16" s="15" t="n">
        <v>130</v>
      </c>
      <c r="C16" s="14" t="inlineStr">
        <is>
          <t>بيضة</t>
        </is>
      </c>
      <c r="D16" s="5" t="inlineStr">
        <is>
          <t>مدى واقعي 110–160</t>
        </is>
      </c>
    </row>
    <row r="17">
      <c r="A17" s="5" t="inlineStr">
        <is>
          <t>نسبة البيض للتفريخ</t>
        </is>
      </c>
      <c r="B17" s="16" t="n">
        <v>0.1</v>
      </c>
      <c r="C17" s="14" t="inlineStr">
        <is>
          <t>%</t>
        </is>
      </c>
      <c r="D17" s="5" t="inlineStr">
        <is>
          <t>للفقس الطبيعي</t>
        </is>
      </c>
    </row>
    <row r="18">
      <c r="A18" s="5" t="inlineStr">
        <is>
          <t>الاستهلاك الذاتي والهدايا</t>
        </is>
      </c>
      <c r="B18" s="16" t="n">
        <v>0.15</v>
      </c>
      <c r="C18" s="14" t="inlineStr">
        <is>
          <t>%</t>
        </is>
      </c>
      <c r="D18" s="5" t="inlineStr">
        <is>
          <t>قيمة للأسرة</t>
        </is>
      </c>
    </row>
    <row r="19">
      <c r="A19" s="5" t="inlineStr">
        <is>
          <t>الكتاكيت الفاقسة سنوياً</t>
        </is>
      </c>
      <c r="B19" s="15" t="n">
        <v>80</v>
      </c>
      <c r="C19" s="14" t="inlineStr">
        <is>
          <t>كتكوت</t>
        </is>
      </c>
      <c r="D19" s="5" t="inlineStr">
        <is>
          <t>3 دفعات فقس (ورقة الفقس)</t>
        </is>
      </c>
    </row>
    <row r="20">
      <c r="A20" s="5" t="inlineStr">
        <is>
          <t>نفوق الكتاكيت حتى 8 أسابيع</t>
        </is>
      </c>
      <c r="B20" s="16" t="n">
        <v>0.15</v>
      </c>
      <c r="C20" s="14" t="inlineStr">
        <is>
          <t>%</t>
        </is>
      </c>
      <c r="D20" s="5" t="inlineStr">
        <is>
          <t>يخفض إلى 8% برعاية</t>
        </is>
      </c>
    </row>
    <row r="21">
      <c r="A21" s="5" t="inlineStr">
        <is>
          <t>وضعيات مُبقاة للتجديد</t>
        </is>
      </c>
      <c r="B21" s="15" t="n">
        <v>10</v>
      </c>
      <c r="C21" s="14" t="inlineStr">
        <is>
          <t>وضحية</t>
        </is>
      </c>
      <c r="D21" s="5" t="inlineStr"/>
    </row>
    <row r="22">
      <c r="A22" s="5" t="inlineStr">
        <is>
          <t>وضحيات مبيعة سنوياً</t>
        </is>
      </c>
      <c r="B22" s="15" t="n">
        <v>30</v>
      </c>
      <c r="C22" s="14" t="inlineStr">
        <is>
          <t>وضحية</t>
        </is>
      </c>
      <c r="D22" s="5" t="inlineStr"/>
    </row>
    <row r="23">
      <c r="A23" s="5" t="inlineStr">
        <is>
          <t>مستصالحات مبيعة</t>
        </is>
      </c>
      <c r="B23" s="15" t="n">
        <v>5</v>
      </c>
      <c r="C23" s="14" t="inlineStr">
        <is>
          <t>دجاجة</t>
        </is>
      </c>
      <c r="D23" s="5" t="inlineStr"/>
    </row>
    <row r="24">
      <c r="A24" s="5" t="inlineStr">
        <is>
          <t>استهلاك البالغ من العلف</t>
        </is>
      </c>
      <c r="B24" s="15" t="n">
        <v>90</v>
      </c>
      <c r="C24" s="14" t="inlineStr">
        <is>
          <t>غ/يوم</t>
        </is>
      </c>
      <c r="D24" s="5" t="inlineStr">
        <is>
          <t>مع بقايا المائدة والرعي</t>
        </is>
      </c>
    </row>
    <row r="25">
      <c r="A25" s="5" t="inlineStr">
        <is>
          <t>علف الفتيان السنوي</t>
        </is>
      </c>
      <c r="B25" s="15" t="n">
        <v>450</v>
      </c>
      <c r="C25" s="14" t="inlineStr">
        <is>
          <t>كغ</t>
        </is>
      </c>
      <c r="D25" s="5" t="inlineStr"/>
    </row>
    <row r="26">
      <c r="A26" s="5" t="inlineStr">
        <is>
          <t>صيدلة وتحصين</t>
        </is>
      </c>
      <c r="B26" s="13" t="n">
        <v>150</v>
      </c>
      <c r="C26" s="14" t="inlineStr">
        <is>
          <t>د.ت/سنة</t>
        </is>
      </c>
      <c r="D26" s="5" t="inlineStr">
        <is>
          <t>لقاحات OVR</t>
        </is>
      </c>
    </row>
    <row r="27">
      <c r="A27" s="5" t="inlineStr">
        <is>
          <t>فرشة وطاقة ونثريات</t>
        </is>
      </c>
      <c r="B27" s="13" t="n">
        <v>100</v>
      </c>
      <c r="C27" s="14" t="inlineStr">
        <is>
          <t>د.ت/سنة</t>
        </is>
      </c>
      <c r="D27" s="5" t="inlineStr"/>
    </row>
    <row r="28">
      <c r="A28" s="5" t="inlineStr">
        <is>
          <t>احتياطي الطوارئ</t>
        </is>
      </c>
      <c r="B28" s="16" t="n">
        <v>0.1</v>
      </c>
      <c r="C28" s="14" t="inlineStr">
        <is>
          <t>%</t>
        </is>
      </c>
      <c r="D28" s="5" t="inlineStr">
        <is>
          <t>على المصاريف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rightToLeft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6" customWidth="1" min="4" max="4"/>
  </cols>
  <sheetData>
    <row r="1" ht="26" customHeight="1">
      <c r="A1" s="1" t="inlineStr">
        <is>
          <t>التكاليف الاستثمارية لبدء المشروع (د.ت)</t>
        </is>
      </c>
    </row>
    <row r="3">
      <c r="A3" s="17" t="inlineStr">
        <is>
          <t>البند</t>
        </is>
      </c>
      <c r="B3" s="17" t="inlineStr">
        <is>
          <t>الكمية</t>
        </is>
      </c>
      <c r="C3" s="17" t="inlineStr">
        <is>
          <t>سعر الوحدة</t>
        </is>
      </c>
      <c r="D3" s="17" t="inlineStr">
        <is>
          <t>الإجمالي</t>
        </is>
      </c>
    </row>
    <row r="4">
      <c r="A4" s="5" t="inlineStr">
        <is>
          <t>دجاج بلدي عتاق (جاهز للبيض)</t>
        </is>
      </c>
      <c r="B4" s="18" t="n">
        <v>30</v>
      </c>
      <c r="C4" s="13">
        <f>'الفرضيات'!B4</f>
        <v/>
      </c>
      <c r="D4" s="19">
        <f>B4*C4</f>
        <v/>
      </c>
    </row>
    <row r="5">
      <c r="A5" s="5" t="inlineStr">
        <is>
          <t>سرادك عتاق</t>
        </is>
      </c>
      <c r="B5" s="18" t="n">
        <v>3</v>
      </c>
      <c r="C5" s="13">
        <f>'الفرضيات'!B5</f>
        <v/>
      </c>
      <c r="D5" s="19">
        <f>B5*C5</f>
        <v/>
      </c>
    </row>
    <row r="6">
      <c r="A6" s="5" t="inlineStr">
        <is>
          <t>بناء/تأهيل المذرك (10 م²)</t>
        </is>
      </c>
      <c r="B6" s="18" t="n">
        <v>1</v>
      </c>
      <c r="C6" s="13" t="n">
        <v>500</v>
      </c>
      <c r="D6" s="19">
        <f>B6*C6</f>
        <v/>
      </c>
    </row>
    <row r="7">
      <c r="A7" s="5" t="inlineStr">
        <is>
          <t>تسييج المشية</t>
        </is>
      </c>
      <c r="B7" s="18" t="n">
        <v>1</v>
      </c>
      <c r="C7" s="13" t="n">
        <v>300</v>
      </c>
      <c r="D7" s="19">
        <f>B7*C7</f>
        <v/>
      </c>
    </row>
    <row r="8">
      <c r="A8" s="5" t="inlineStr">
        <is>
          <t>أعشاش (8) + مجاثم</t>
        </is>
      </c>
      <c r="B8" s="18" t="n">
        <v>1</v>
      </c>
      <c r="C8" s="13" t="n">
        <v>130</v>
      </c>
      <c r="D8" s="19">
        <f>B8*C8</f>
        <v/>
      </c>
    </row>
    <row r="9">
      <c r="A9" s="5" t="inlineStr">
        <is>
          <t>معالف ومساقي (4+4)</t>
        </is>
      </c>
      <c r="B9" s="18" t="n">
        <v>1</v>
      </c>
      <c r="C9" s="13" t="n">
        <v>110</v>
      </c>
      <c r="D9" s="19">
        <f>B9*C9</f>
        <v/>
      </c>
    </row>
    <row r="10">
      <c r="A10" s="5" t="inlineStr">
        <is>
          <t>حظيرة الفراخ</t>
        </is>
      </c>
      <c r="B10" s="18" t="n">
        <v>1</v>
      </c>
      <c r="C10" s="13" t="n">
        <v>120</v>
      </c>
      <c r="D10" s="19">
        <f>B10*C10</f>
        <v/>
      </c>
    </row>
    <row r="11">
      <c r="A11" s="5" t="inlineStr">
        <is>
          <t>حوض رمل + أدوات + نقل</t>
        </is>
      </c>
      <c r="B11" s="18" t="n">
        <v>1</v>
      </c>
      <c r="C11" s="13" t="n">
        <v>110</v>
      </c>
      <c r="D11" s="19">
        <f>B11*C11</f>
        <v/>
      </c>
    </row>
    <row r="12">
      <c r="A12" s="20" t="inlineStr">
        <is>
          <t>المجموع</t>
        </is>
      </c>
      <c r="B12" s="12" t="n"/>
      <c r="C12" s="12" t="n"/>
      <c r="D12" s="21">
        <f>SUM(D4:D11)</f>
        <v/>
      </c>
    </row>
    <row r="13">
      <c r="A13" s="3" t="inlineStr">
        <is>
          <t>رأس مال احتياطي (شهرا علف)</t>
        </is>
      </c>
      <c r="B13" s="18" t="n">
        <v>1</v>
      </c>
      <c r="C13" s="13" t="n">
        <v>400</v>
      </c>
      <c r="D13" s="19">
        <f>B13*C13</f>
        <v/>
      </c>
    </row>
    <row r="14">
      <c r="A14" s="2" t="inlineStr">
        <is>
          <t>إجمالي الاستثمار المطلوب</t>
        </is>
      </c>
      <c r="B14" s="7" t="n"/>
      <c r="C14" s="7" t="n"/>
      <c r="D14" s="22">
        <f>D12+D13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rightToLeft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42" customWidth="1" min="4" max="4"/>
  </cols>
  <sheetData>
    <row r="1" ht="26" customHeight="1">
      <c r="A1" s="1" t="inlineStr">
        <is>
          <t>النموذج التشغيلي السنوي (د.ت)</t>
        </is>
      </c>
    </row>
    <row r="3">
      <c r="A3" s="17" t="inlineStr">
        <is>
          <t>البند</t>
        </is>
      </c>
      <c r="B3" s="17" t="inlineStr">
        <is>
          <t>السنة 1</t>
        </is>
      </c>
      <c r="C3" s="17" t="inlineStr">
        <is>
          <t>السنة 2</t>
        </is>
      </c>
      <c r="D3" s="17" t="inlineStr">
        <is>
          <t>ملاحظات</t>
        </is>
      </c>
    </row>
    <row r="4">
      <c r="A4" s="11" t="inlineStr">
        <is>
          <t>أولا: حسابات الإنتاج</t>
        </is>
      </c>
      <c r="B4" s="12" t="n"/>
      <c r="C4" s="12" t="n"/>
      <c r="D4" s="12" t="n"/>
    </row>
    <row r="5">
      <c r="A5" s="5" t="inlineStr">
        <is>
          <t>عدد الدجاج البالغ</t>
        </is>
      </c>
      <c r="B5" s="18">
        <f>'الفرضيات'!B13</f>
        <v/>
      </c>
      <c r="C5" s="18">
        <f>B5-'الفرضيات'!B23+'الفرضيات'!B21</f>
        <v/>
      </c>
      <c r="D5" s="5" t="inlineStr">
        <is>
          <t>س2: ناقص المستصالحات + التجديد</t>
        </is>
      </c>
    </row>
    <row r="6">
      <c r="A6" s="5" t="inlineStr">
        <is>
          <t>عدد السرادك</t>
        </is>
      </c>
      <c r="B6" s="18">
        <f>'الفرضيات'!B14</f>
        <v/>
      </c>
      <c r="C6" s="18">
        <f>B6</f>
        <v/>
      </c>
      <c r="D6" s="5" t="inlineStr"/>
    </row>
    <row r="7">
      <c r="A7" s="5" t="inlineStr">
        <is>
          <t>إنتاج البيض السنوي</t>
        </is>
      </c>
      <c r="B7" s="18">
        <f>B5*'الفرضيات'!B16</f>
        <v/>
      </c>
      <c r="C7" s="18">
        <f>C5*'الفرضيات'!B16</f>
        <v/>
      </c>
      <c r="D7" s="5" t="inlineStr">
        <is>
          <t>بيضة/دجاجة/سنة</t>
        </is>
      </c>
    </row>
    <row r="8">
      <c r="A8" s="5" t="inlineStr">
        <is>
          <t>بيض التفريخ</t>
        </is>
      </c>
      <c r="B8" s="18">
        <f>B7*'الفرضيات'!B17</f>
        <v/>
      </c>
      <c r="C8" s="18">
        <f>C7*'الفرضيات'!B17</f>
        <v/>
      </c>
      <c r="D8" s="5" t="inlineStr"/>
    </row>
    <row r="9">
      <c r="A9" s="5" t="inlineStr">
        <is>
          <t>استهلاك ذاتي وهدايا</t>
        </is>
      </c>
      <c r="B9" s="18">
        <f>B7*'الفرضيات'!B18</f>
        <v/>
      </c>
      <c r="C9" s="18">
        <f>C7*'الفرضيات'!B18</f>
        <v/>
      </c>
      <c r="D9" s="5" t="inlineStr"/>
    </row>
    <row r="10">
      <c r="A10" s="5" t="inlineStr">
        <is>
          <t>البيض المعبوع للبيع</t>
        </is>
      </c>
      <c r="B10" s="18">
        <f>B7-B8-B9</f>
        <v/>
      </c>
      <c r="C10" s="18">
        <f>C7-C8-C9</f>
        <v/>
      </c>
      <c r="D10" s="5" t="inlineStr"/>
    </row>
    <row r="11">
      <c r="A11" s="5" t="inlineStr">
        <is>
          <t>الكتاكيت الناجية</t>
        </is>
      </c>
      <c r="B11" s="18">
        <f>'الفرضيات'!B19*(1-'الفرضيات'!B20)</f>
        <v/>
      </c>
      <c r="C11" s="18">
        <f>B11</f>
        <v/>
      </c>
      <c r="D11" s="5" t="inlineStr"/>
    </row>
    <row r="12">
      <c r="A12" s="5" t="inlineStr">
        <is>
          <t>وضحيات مبيعة</t>
        </is>
      </c>
      <c r="B12" s="18">
        <f>'الفرضيات'!B22</f>
        <v/>
      </c>
      <c r="C12" s="18">
        <f>B12</f>
        <v/>
      </c>
      <c r="D12" s="5" t="inlineStr"/>
    </row>
    <row r="13">
      <c r="A13" s="5" t="inlineStr">
        <is>
          <t>ديكارول مبيعة</t>
        </is>
      </c>
      <c r="B13" s="18">
        <f>B11-'الفرضيات'!B21-'الفرضيات'!B22</f>
        <v/>
      </c>
      <c r="C13" s="18">
        <f>C13</f>
        <v/>
      </c>
      <c r="D13" s="5" t="inlineStr"/>
    </row>
    <row r="14">
      <c r="A14" s="5" t="inlineStr">
        <is>
          <t>مستصالحات مبيعة</t>
        </is>
      </c>
      <c r="B14" s="18">
        <f>'الفرضيات'!B23</f>
        <v/>
      </c>
      <c r="C14" s="18">
        <f>C5*2/10</f>
        <v/>
      </c>
      <c r="D14" s="5" t="inlineStr"/>
    </row>
    <row r="16">
      <c r="A16" s="11" t="inlineStr">
        <is>
          <t>ثانيا: التكاليف التشغيلية السنوية</t>
        </is>
      </c>
      <c r="B16" s="12" t="n"/>
      <c r="C16" s="12" t="n"/>
      <c r="D16" s="12" t="n"/>
    </row>
    <row r="17">
      <c r="A17" s="5" t="inlineStr">
        <is>
          <t>علف البالغين</t>
        </is>
      </c>
      <c r="B17" s="23">
        <f>(B5+B6)*'الفرضيات'!B24/1000*365*'الفرضيات'!B10</f>
        <v/>
      </c>
      <c r="C17" s="23">
        <f>(C5+C6)*'الفرضيات'!B24/1000*365*'الفرضيات'!B10</f>
        <v/>
      </c>
      <c r="D17" s="5" t="inlineStr"/>
    </row>
    <row r="18">
      <c r="A18" s="5" t="inlineStr">
        <is>
          <t>علف الفتيان</t>
        </is>
      </c>
      <c r="B18" s="23">
        <f>'الفرضيات'!B25*'الفرضيات'!B11</f>
        <v/>
      </c>
      <c r="C18" s="23">
        <f>'الفرضيات'!B25*'الفرضيات'!B11</f>
        <v/>
      </c>
      <c r="D18" s="5" t="inlineStr"/>
    </row>
    <row r="19">
      <c r="A19" s="5" t="inlineStr">
        <is>
          <t>صيدلة وتحصين</t>
        </is>
      </c>
      <c r="B19" s="23">
        <f>'الفرضيات'!B26</f>
        <v/>
      </c>
      <c r="C19" s="23">
        <f>'الفرضيات'!B26</f>
        <v/>
      </c>
      <c r="D19" s="5" t="inlineStr"/>
    </row>
    <row r="20">
      <c r="A20" s="5" t="inlineStr">
        <is>
          <t>فرشة وطاقة ونثريات</t>
        </is>
      </c>
      <c r="B20" s="23">
        <f>'الفرضيات'!B27</f>
        <v/>
      </c>
      <c r="C20" s="23">
        <f>'الفرضيات'!B27</f>
        <v/>
      </c>
      <c r="D20" s="5" t="inlineStr"/>
    </row>
    <row r="21">
      <c r="A21" s="5" t="inlineStr">
        <is>
          <t>احتياطي الطوارئ</t>
        </is>
      </c>
      <c r="B21" s="23">
        <f>SUM(B17:B20)*'الفرضيات'!B28</f>
        <v/>
      </c>
      <c r="C21" s="23">
        <f>SUM(C17:C20)*'الفرضيات'!B28</f>
        <v/>
      </c>
      <c r="D21" s="5" t="inlineStr"/>
    </row>
    <row r="22">
      <c r="A22" s="24" t="inlineStr">
        <is>
          <t>إجمالي التكاليف</t>
        </is>
      </c>
      <c r="B22" s="4">
        <f>SUM(B17:B21)</f>
        <v/>
      </c>
      <c r="C22" s="4">
        <f>SUM(C17:C21)</f>
        <v/>
      </c>
      <c r="D22" s="25" t="inlineStr"/>
    </row>
    <row r="24">
      <c r="A24" s="11" t="inlineStr">
        <is>
          <t>ثالثا: الإيرادات</t>
        </is>
      </c>
      <c r="B24" s="12" t="n"/>
      <c r="C24" s="12" t="n"/>
      <c r="D24" s="12" t="n"/>
    </row>
    <row r="25">
      <c r="A25" s="5" t="inlineStr">
        <is>
          <t>بيض بلدي</t>
        </is>
      </c>
      <c r="B25" s="23">
        <f>B10*'الفرضيات'!B6</f>
        <v/>
      </c>
      <c r="C25" s="23">
        <f>C10*'الفرضيات'!B6</f>
        <v/>
      </c>
      <c r="D25" s="5" t="inlineStr"/>
    </row>
    <row r="26">
      <c r="A26" s="5" t="inlineStr">
        <is>
          <t>وضحيات</t>
        </is>
      </c>
      <c r="B26" s="23">
        <f>B12*'الفرضيات'!B7</f>
        <v/>
      </c>
      <c r="C26" s="23">
        <f>C12*'الفرضيات'!B7</f>
        <v/>
      </c>
      <c r="D26" s="5" t="inlineStr"/>
    </row>
    <row r="27">
      <c r="A27" s="5" t="inlineStr">
        <is>
          <t>ديكارول</t>
        </is>
      </c>
      <c r="B27" s="23">
        <f>B13*'الفرضيات'!B8</f>
        <v/>
      </c>
      <c r="C27" s="23">
        <f>C13*'الفرضيات'!B8</f>
        <v/>
      </c>
      <c r="D27" s="5" t="inlineStr"/>
    </row>
    <row r="28">
      <c r="A28" s="5" t="inlineStr">
        <is>
          <t>مستصالحات</t>
        </is>
      </c>
      <c r="B28" s="23">
        <f>B14*'الفرضيات'!B9</f>
        <v/>
      </c>
      <c r="C28" s="23">
        <f>C14*'الفرضيات'!B9</f>
        <v/>
      </c>
      <c r="D28" s="5" t="inlineStr"/>
    </row>
    <row r="29">
      <c r="A29" s="24" t="inlineStr">
        <is>
          <t>إجمالي الإيراد النقدي</t>
        </is>
      </c>
      <c r="B29" s="4">
        <f>SUM(B25:B28)</f>
        <v/>
      </c>
      <c r="C29" s="4">
        <f>SUM(C25:C28)</f>
        <v/>
      </c>
      <c r="D29" s="25" t="inlineStr"/>
    </row>
    <row r="30">
      <c r="A30" s="5" t="inlineStr">
        <is>
          <t>قيمة الاستهلاك الذاتي</t>
        </is>
      </c>
      <c r="B30" s="23">
        <f>B9*'الفرضيات'!B6</f>
        <v/>
      </c>
      <c r="C30" s="23">
        <f>C9*'الفرضيات'!B6</f>
        <v/>
      </c>
      <c r="D30" s="5" t="inlineStr"/>
    </row>
    <row r="31">
      <c r="A31" s="5" t="inlineStr">
        <is>
          <t>الإجمالي الاقتصادي</t>
        </is>
      </c>
      <c r="B31" s="23">
        <f>B29+B30</f>
        <v/>
      </c>
      <c r="C31" s="23">
        <f>C29+C30</f>
        <v/>
      </c>
      <c r="D31" s="5" t="inlineStr"/>
    </row>
    <row r="33">
      <c r="A33" s="11" t="inlineStr">
        <is>
          <t>رابعا: النتيجة</t>
        </is>
      </c>
      <c r="B33" s="12" t="n"/>
      <c r="C33" s="12" t="n"/>
      <c r="D33" s="12" t="n"/>
    </row>
    <row r="34">
      <c r="A34" s="24" t="inlineStr">
        <is>
          <t>صافي الربح النقدي</t>
        </is>
      </c>
      <c r="B34" s="4">
        <f>B29-B22</f>
        <v/>
      </c>
      <c r="C34" s="4">
        <f>C29-C22</f>
        <v/>
      </c>
      <c r="D34" s="25" t="inlineStr"/>
    </row>
    <row r="35">
      <c r="A35" s="24" t="inlineStr">
        <is>
          <t>صافي الربح الاقتصادي</t>
        </is>
      </c>
      <c r="B35" s="4">
        <f>B31-B22</f>
        <v/>
      </c>
      <c r="C35" s="4">
        <f>C31-C22</f>
        <v/>
      </c>
      <c r="D35" s="25" t="inlineStr"/>
    </row>
    <row r="37">
      <c r="A37" s="11" t="inlineStr">
        <is>
          <t>خامسا: الاسترداد</t>
        </is>
      </c>
      <c r="B37" s="12" t="n"/>
      <c r="C37" s="12" t="n"/>
      <c r="D37" s="12" t="n"/>
    </row>
    <row r="38">
      <c r="A38" s="5" t="inlineStr">
        <is>
          <t>مدة الاسترداد (سنوات — اقتصادي)</t>
        </is>
      </c>
      <c r="B38" s="6">
        <f>'الاستثمار'!D14/AVERAGE(B35:C35)</f>
        <v/>
      </c>
      <c r="C38" s="5" t="n"/>
      <c r="D38" s="5" t="inlineStr">
        <is>
          <t>من الأرباح التراكمية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rightToLeft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تحليل السيناريوهات والحساسية — صافي السنة الأولى (د.ت)</t>
        </is>
      </c>
    </row>
    <row r="3">
      <c r="A3" s="17" t="inlineStr">
        <is>
          <t>المعيار</t>
        </is>
      </c>
      <c r="B3" s="17" t="inlineStr">
        <is>
          <t>متشائم</t>
        </is>
      </c>
      <c r="C3" s="17" t="inlineStr">
        <is>
          <t>أساسي</t>
        </is>
      </c>
      <c r="D3" s="17" t="inlineStr">
        <is>
          <t>متفائل</t>
        </is>
      </c>
    </row>
    <row r="4">
      <c r="A4" s="5" t="inlineStr">
        <is>
          <t>إنتاج البيض (بيضة/دجاجة)</t>
        </is>
      </c>
      <c r="B4" s="15" t="n">
        <v>110</v>
      </c>
      <c r="C4" s="15" t="n">
        <v>130</v>
      </c>
      <c r="D4" s="15" t="n">
        <v>160</v>
      </c>
    </row>
    <row r="5">
      <c r="A5" s="5" t="inlineStr">
        <is>
          <t>سعر البيضة (د.ت)</t>
        </is>
      </c>
      <c r="B5" s="13" t="n">
        <v>0.5</v>
      </c>
      <c r="C5" s="13" t="n">
        <v>0.6</v>
      </c>
      <c r="D5" s="13" t="n">
        <v>0.75</v>
      </c>
    </row>
    <row r="6">
      <c r="A6" s="5" t="inlineStr">
        <is>
          <t>الكتاكيت الفاقسة</t>
        </is>
      </c>
      <c r="B6" s="15" t="n">
        <v>60</v>
      </c>
      <c r="C6" s="15" t="n">
        <v>80</v>
      </c>
      <c r="D6" s="15" t="n">
        <v>100</v>
      </c>
    </row>
    <row r="8">
      <c r="A8" s="26" t="inlineStr">
        <is>
          <t>البيض الإجمالي</t>
        </is>
      </c>
      <c r="B8" s="18">
        <f>B4*30</f>
        <v/>
      </c>
      <c r="C8" s="18">
        <f>C4*30</f>
        <v/>
      </c>
      <c r="D8" s="18">
        <f>D4*30</f>
        <v/>
      </c>
    </row>
    <row r="9">
      <c r="A9" s="5" t="inlineStr">
        <is>
          <t>إيراد البيض + الاستهلاك الذاتي</t>
        </is>
      </c>
      <c r="B9" s="23">
        <f>B8*0.9*B5</f>
        <v/>
      </c>
      <c r="C9" s="23">
        <f>C8*0.9*C5</f>
        <v/>
      </c>
      <c r="D9" s="23">
        <f>D8*0.9*D5</f>
        <v/>
      </c>
    </row>
    <row r="10">
      <c r="A10" s="5" t="inlineStr">
        <is>
          <t>إيراد الوضعيات والديكارول والمستصالحات</t>
        </is>
      </c>
      <c r="B10" s="23">
        <f>360+(B6*0.85-40)*20+110</f>
        <v/>
      </c>
      <c r="C10" s="23">
        <f>360+(C6*0.85-40)*20+110</f>
        <v/>
      </c>
      <c r="D10" s="23">
        <f>360+(D6*0.85-40)*20+110</f>
        <v/>
      </c>
    </row>
    <row r="11">
      <c r="A11" s="5" t="inlineStr">
        <is>
          <t>التكاليف مع الطوارئ</t>
        </is>
      </c>
      <c r="B11" s="23">
        <f>(33*0.09*365*1.2+450*1.4+150+100)*1.1</f>
        <v/>
      </c>
      <c r="C11" s="23">
        <f>(33*0.09*365*1.2+450*1.4+150+100)*1.1</f>
        <v/>
      </c>
      <c r="D11" s="23">
        <f>(33*0.09*365*1.2+450*1.4+150+100)*1.1</f>
        <v/>
      </c>
    </row>
    <row r="13">
      <c r="A13" s="3" t="inlineStr">
        <is>
          <t>صافي الربح النقدي</t>
        </is>
      </c>
      <c r="B13" s="4">
        <f>B10-B11</f>
        <v/>
      </c>
      <c r="C13" s="4">
        <f>C10-C11</f>
        <v/>
      </c>
      <c r="D13" s="4">
        <f>D10-D11</f>
        <v/>
      </c>
    </row>
    <row r="14">
      <c r="A14" s="3" t="inlineStr">
        <is>
          <t>صافي الربح الاقتصادي</t>
        </is>
      </c>
      <c r="B14" s="4">
        <f>B9+B10-B11</f>
        <v/>
      </c>
      <c r="C14" s="4">
        <f>C9+C10-C11</f>
        <v/>
      </c>
      <c r="D14" s="4">
        <f>D9+D10-D11</f>
        <v/>
      </c>
    </row>
    <row r="17">
      <c r="A17" s="11" t="inlineStr">
        <is>
          <t>مصفوفة الحساسية: الصافي (د.ت) حسب سعر البيضة ↔ الإنتاج</t>
        </is>
      </c>
      <c r="B17" s="12" t="n"/>
      <c r="C17" s="12" t="n"/>
      <c r="D17" s="12" t="n"/>
      <c r="E17" s="12" t="n"/>
      <c r="F17" s="12" t="n"/>
    </row>
    <row r="18">
      <c r="A18" s="2" t="inlineStr">
        <is>
          <t>السعر \ الإنتاج</t>
        </is>
      </c>
      <c r="B18" s="27" t="n">
        <v>100</v>
      </c>
      <c r="C18" s="27" t="n">
        <v>115</v>
      </c>
      <c r="D18" s="27" t="n">
        <v>130</v>
      </c>
      <c r="E18" s="27" t="n">
        <v>145</v>
      </c>
      <c r="F18" s="27" t="n">
        <v>160</v>
      </c>
    </row>
    <row r="19">
      <c r="A19" s="28" t="n">
        <v>0.4</v>
      </c>
      <c r="B19" s="29">
        <f>30*100*0.9*0.4+1030-2400</f>
        <v/>
      </c>
      <c r="C19" s="29">
        <f>30*115*0.9*0.4+1030-2400</f>
        <v/>
      </c>
      <c r="D19" s="29">
        <f>30*130*0.9*0.4+1030-2400</f>
        <v/>
      </c>
      <c r="E19" s="29">
        <f>30*145*0.9*0.4+1030-2400</f>
        <v/>
      </c>
      <c r="F19" s="29">
        <f>30*160*0.9*0.4+1030-2400</f>
        <v/>
      </c>
    </row>
    <row r="20">
      <c r="A20" s="28" t="n">
        <v>0.5</v>
      </c>
      <c r="B20" s="29">
        <f>30*100*0.9*0.5+1030-2400</f>
        <v/>
      </c>
      <c r="C20" s="29">
        <f>30*115*0.9*0.5+1030-2400</f>
        <v/>
      </c>
      <c r="D20" s="29">
        <f>30*130*0.9*0.5+1030-2400</f>
        <v/>
      </c>
      <c r="E20" s="29">
        <f>30*145*0.9*0.5+1030-2400</f>
        <v/>
      </c>
      <c r="F20" s="29">
        <f>30*160*0.9*0.5+1030-2400</f>
        <v/>
      </c>
    </row>
    <row r="21">
      <c r="A21" s="28" t="n">
        <v>0.6</v>
      </c>
      <c r="B21" s="29">
        <f>30*100*0.9*0.6+1030-2400</f>
        <v/>
      </c>
      <c r="C21" s="29">
        <f>30*115*0.9*0.6+1030-2400</f>
        <v/>
      </c>
      <c r="D21" s="29">
        <f>30*130*0.9*0.6+1030-2400</f>
        <v/>
      </c>
      <c r="E21" s="29">
        <f>30*145*0.9*0.6+1030-2400</f>
        <v/>
      </c>
      <c r="F21" s="29">
        <f>30*160*0.9*0.6+1030-2400</f>
        <v/>
      </c>
    </row>
    <row r="22">
      <c r="A22" s="28" t="n">
        <v>0.7</v>
      </c>
      <c r="B22" s="29">
        <f>30*100*0.9*0.7+1030-2400</f>
        <v/>
      </c>
      <c r="C22" s="29">
        <f>30*115*0.9*0.7+1030-2400</f>
        <v/>
      </c>
      <c r="D22" s="29">
        <f>30*130*0.9*0.7+1030-2400</f>
        <v/>
      </c>
      <c r="E22" s="29">
        <f>30*145*0.9*0.7+1030-2400</f>
        <v/>
      </c>
      <c r="F22" s="29">
        <f>30*160*0.9*0.7+1030-2400</f>
        <v/>
      </c>
    </row>
    <row r="23">
      <c r="A23" s="28" t="n">
        <v>0.8</v>
      </c>
      <c r="B23" s="29">
        <f>30*100*0.9*0.8+1030-2400</f>
        <v/>
      </c>
      <c r="C23" s="29">
        <f>30*115*0.9*0.8+1030-2400</f>
        <v/>
      </c>
      <c r="D23" s="29">
        <f>30*130*0.9*0.8+1030-2400</f>
        <v/>
      </c>
      <c r="E23" s="29">
        <f>30*145*0.9*0.8+1030-2400</f>
        <v/>
      </c>
      <c r="F23" s="29">
        <f>30*160*0.9*0.8+1030-2400</f>
        <v/>
      </c>
    </row>
    <row r="25">
      <c r="A25" s="5" t="inlineStr">
        <is>
          <t>(75% بيع + 15% استهلاك ذاتي) — إيراد ثابت آخر 1030 وتكاليف 2400</t>
        </is>
      </c>
      <c r="B25" s="9" t="n"/>
      <c r="C25" s="9" t="n"/>
      <c r="D25" s="9" t="n"/>
      <c r="E25" s="9" t="n"/>
      <c r="F25" s="10" t="n"/>
    </row>
  </sheetData>
  <mergeCells count="2">
    <mergeCell ref="A1:D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2" customWidth="1" min="3" max="3"/>
  </cols>
  <sheetData>
    <row r="1" ht="26" customHeight="1">
      <c r="A1" s="1" t="inlineStr">
        <is>
          <t>التقويم الصحي والفلاحي (شروط تونس)</t>
        </is>
      </c>
    </row>
    <row r="3">
      <c r="A3" s="17" t="inlineStr">
        <is>
          <t>الفترة</t>
        </is>
      </c>
      <c r="B3" s="17" t="inlineStr">
        <is>
          <t>العملية</t>
        </is>
      </c>
      <c r="C3" s="17" t="inlineStr">
        <is>
          <t>التفاصيل</t>
        </is>
      </c>
    </row>
    <row r="4" ht="34" customHeight="1">
      <c r="A4" s="30" t="inlineStr">
        <is>
          <t>أوت–سبتمبر</t>
        </is>
      </c>
      <c r="B4" s="5" t="inlineStr">
        <is>
          <t>مقاومة الحرارة</t>
        </is>
      </c>
      <c r="C4" s="5" t="inlineStr">
        <is>
          <t>تظليل، ماء بارد متجدد، فيتامين C/إلكتروليت؛ البيض يهبط 20–30% طبيعياً</t>
        </is>
      </c>
    </row>
    <row r="5" ht="34" customHeight="1">
      <c r="A5" s="30" t="inlineStr">
        <is>
          <t>سبتمبر–أكتوبر</t>
        </is>
      </c>
      <c r="B5" s="5" t="inlineStr">
        <is>
          <t>الديدان والطفيليات</t>
        </is>
      </c>
      <c r="C5" s="5" t="inlineStr">
        <is>
          <t>مضاد ديدان + رش المذرك + قمل وحلم</t>
        </is>
      </c>
    </row>
    <row r="6" ht="34" customHeight="1">
      <c r="A6" s="30" t="inlineStr">
        <is>
          <t>أكتوبر–نوفمبر</t>
        </is>
      </c>
      <c r="B6" s="5" t="inlineStr">
        <is>
          <t>نيوكاسل + جدري</t>
        </is>
      </c>
      <c r="C6" s="5" t="inlineStr">
        <is>
          <t>تيلون/لسوتا بالشرب؛ الجدري قبل الناموس؛ لقاحات OVR</t>
        </is>
      </c>
    </row>
    <row r="7" ht="34" customHeight="1">
      <c r="A7" s="30" t="inlineStr">
        <is>
          <t>نوفمبر–جانفي</t>
        </is>
      </c>
      <c r="B7" s="5" t="inlineStr">
        <is>
          <t>الإدارة الشتوية</t>
        </is>
      </c>
      <c r="C7" s="5" t="inlineStr">
        <is>
          <t>إضاءة 14 ساعة (اختياري)؛ فرشة سميكة؛ حماية من الرياح</t>
        </is>
      </c>
    </row>
    <row r="8" ht="34" customHeight="1">
      <c r="A8" s="30" t="inlineStr">
        <is>
          <t>فيفري–مارس</t>
        </is>
      </c>
      <c r="B8" s="5" t="inlineStr">
        <is>
          <t>ذروة البيض</t>
        </is>
      </c>
      <c r="C8" s="5" t="inlineStr">
        <is>
          <t>نيوكاسل منشط؛ كالسيوم (قواقع)؛ تحضير عشون الفقس</t>
        </is>
      </c>
    </row>
    <row r="9" ht="34" customHeight="1">
      <c r="A9" s="30" t="inlineStr">
        <is>
          <t>مارس–جوان</t>
        </is>
      </c>
      <c r="B9" s="5" t="inlineStr">
        <is>
          <t>موسم الفقس</t>
        </is>
      </c>
      <c r="C9" s="5" t="inlineStr">
        <is>
          <t>عزل الراقدة (10–12 بيضة، 21 يوماً)؛ علف بادئ للفراخ؛ 2–3 دورات</t>
        </is>
      </c>
    </row>
    <row r="10" ht="34" customHeight="1">
      <c r="A10" s="30" t="inlineStr">
        <is>
          <t>طوال السنة</t>
        </is>
      </c>
      <c r="B10" s="5" t="inlineStr">
        <is>
          <t>الأمن الحيوي</t>
        </is>
      </c>
      <c r="C10" s="5" t="inlineStr">
        <is>
          <t>حجر صحي 2–3 أسابيع؛ رمل+رماد؛ قوارض؛ منع الطيور البرية</t>
        </is>
      </c>
    </row>
    <row r="11" ht="34" customHeight="1">
      <c r="A11" s="30" t="inlineStr">
        <is>
          <t>طوال السنة</t>
        </is>
      </c>
      <c r="B11" s="5" t="inlineStr">
        <is>
          <t>الإنذار البيطري</t>
        </is>
      </c>
      <c r="C11" s="5" t="inlineStr">
        <is>
          <t>نفوق جماعي → إبلاغ فوري CRDA (احتراس أنفلونزا الطيور)</t>
        </is>
      </c>
    </row>
    <row r="14">
      <c r="A14" s="11" t="inlineStr">
        <is>
          <t>برنامج الفراخ (0–8 أسابيع)</t>
        </is>
      </c>
      <c r="B14" s="12" t="n"/>
      <c r="C14" s="12" t="n"/>
    </row>
    <row r="15">
      <c r="A15" s="30" t="inlineStr">
        <is>
          <t>يوم 1–7</t>
        </is>
      </c>
      <c r="B15" s="5" t="inlineStr">
        <is>
          <t>حرارة 32–35°م، ماء بفيتامينات، بادئ 19–20% بروتين</t>
        </is>
      </c>
    </row>
    <row r="16">
      <c r="A16" s="30" t="inlineStr">
        <is>
          <t>يوم 7</t>
        </is>
      </c>
      <c r="B16" s="5" t="inlineStr">
        <is>
          <t>نيوكاسل HD</t>
        </is>
      </c>
    </row>
    <row r="17">
      <c r="A17" s="30" t="inlineStr">
        <is>
          <t>يوم 12–18</t>
        </is>
      </c>
      <c r="B17" s="5" t="inlineStr">
        <is>
          <t>جمبورو</t>
        </is>
      </c>
    </row>
    <row r="18">
      <c r="A18" s="30" t="inlineStr">
        <is>
          <t>يوم 21–28</t>
        </is>
      </c>
      <c r="B18" s="5" t="inlineStr">
        <is>
          <t>جمبورو + لسوتا</t>
        </is>
      </c>
    </row>
    <row r="19">
      <c r="A19" s="30" t="inlineStr">
        <is>
          <t>باستمرار</t>
        </is>
      </c>
      <c r="B19" s="5" t="inlineStr">
        <is>
          <t>فرشة جافة (كوكسيديا)؛ −3°/أسبوع حتى 21°</t>
        </is>
      </c>
    </row>
  </sheetData>
  <mergeCells count="6">
    <mergeCell ref="B16:C16"/>
    <mergeCell ref="B15:C15"/>
    <mergeCell ref="A1:C1"/>
    <mergeCell ref="B19:C19"/>
    <mergeCell ref="B17:C17"/>
    <mergeCell ref="B18:C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6" customWidth="1" min="3" max="3"/>
  </cols>
  <sheetData>
    <row r="1" ht="26" customHeight="1">
      <c r="A1" s="1" t="inlineStr">
        <is>
          <t>المواصفات الفنية للحظيرة (33 طائراً)</t>
        </is>
      </c>
    </row>
    <row r="3">
      <c r="A3" s="17" t="inlineStr">
        <is>
          <t>العنصر</t>
        </is>
      </c>
      <c r="B3" s="17" t="inlineStr">
        <is>
          <t>المقاس</t>
        </is>
      </c>
      <c r="C3" s="17" t="inlineStr">
        <is>
          <t>للمشروع</t>
        </is>
      </c>
    </row>
    <row r="4" ht="28" customHeight="1">
      <c r="A4" s="3" t="inlineStr">
        <is>
          <t>المذرك المغلق</t>
        </is>
      </c>
      <c r="B4" s="14" t="inlineStr">
        <is>
          <t>0.25–0.30 م²/طائر</t>
        </is>
      </c>
      <c r="C4" s="5" t="inlineStr">
        <is>
          <t>8–10 م² (4×2.5م)</t>
        </is>
      </c>
    </row>
    <row r="5" ht="28" customHeight="1">
      <c r="A5" s="3" t="inlineStr">
        <is>
          <t>ساحة المشية</t>
        </is>
      </c>
      <c r="B5" s="14" t="inlineStr">
        <is>
          <t>2–3 م²/طائر</t>
        </is>
      </c>
      <c r="C5" s="5" t="inlineStr">
        <is>
          <t>70–100 م² مسيّجة</t>
        </is>
      </c>
    </row>
    <row r="6" ht="28" customHeight="1">
      <c r="A6" s="3" t="inlineStr">
        <is>
          <t>الأعشاش</t>
        </is>
      </c>
      <c r="B6" s="14" t="inlineStr">
        <is>
          <t>1 لكل 4 دجاجات</t>
        </is>
      </c>
      <c r="C6" s="5" t="inlineStr">
        <is>
          <t>7–8 أعشاش 35×35×35 سم</t>
        </is>
      </c>
    </row>
    <row r="7" ht="28" customHeight="1">
      <c r="A7" s="3" t="inlineStr">
        <is>
          <t>المجاثم</t>
        </is>
      </c>
      <c r="B7" s="14" t="inlineStr">
        <is>
          <t>20–25 سم/طائر</t>
        </is>
      </c>
      <c r="C7" s="5" t="inlineStr">
        <is>
          <t>≈7 م، ارتفاع 60–90 سم</t>
        </is>
      </c>
    </row>
    <row r="8" ht="28" customHeight="1">
      <c r="A8" s="3" t="inlineStr">
        <is>
          <t>المعالف</t>
        </is>
      </c>
      <c r="B8" s="14" t="inlineStr">
        <is>
          <t>10–12 سم/طائر</t>
        </is>
      </c>
      <c r="C8" s="5" t="inlineStr">
        <is>
          <t>4 معالف</t>
        </is>
      </c>
    </row>
    <row r="9" ht="28" customHeight="1">
      <c r="A9" s="3" t="inlineStr">
        <is>
          <t>المساقي</t>
        </is>
      </c>
      <c r="B9" s="14" t="inlineStr">
        <is>
          <t>1.5–2 سم/طائر</t>
        </is>
      </c>
      <c r="C9" s="5" t="inlineStr">
        <is>
          <t>4 مساقي</t>
        </is>
      </c>
    </row>
    <row r="10" ht="28" customHeight="1">
      <c r="A10" s="3" t="inlineStr">
        <is>
          <t>حوض الرمل</t>
        </is>
      </c>
      <c r="B10" s="14" t="inlineStr">
        <is>
          <t>60×40 سم</t>
        </is>
      </c>
      <c r="C10" s="5" t="inlineStr">
        <is>
          <t>رمل + رماد خشب</t>
        </is>
      </c>
    </row>
    <row r="11" ht="28" customHeight="1">
      <c r="A11" s="3" t="inlineStr">
        <is>
          <t>التوجيه</t>
        </is>
      </c>
      <c r="B11" s="14" t="inlineStr">
        <is>
          <t>شرق–غرب</t>
        </is>
      </c>
      <c r="C11" s="5" t="inlineStr">
        <is>
          <t>مصد شمالي، سقف مائل</t>
        </is>
      </c>
    </row>
    <row r="12" ht="28" customHeight="1">
      <c r="A12" s="3" t="inlineStr">
        <is>
          <t>الفرشة</t>
        </is>
      </c>
      <c r="B12" s="14" t="inlineStr">
        <is>
          <t>10–15 سم</t>
        </is>
      </c>
      <c r="C12" s="5" t="inlineStr">
        <is>
          <t>قش/نشارة، تجديد كل 6–8 أسابيع</t>
        </is>
      </c>
    </row>
    <row r="13" ht="28" customHeight="1">
      <c r="A13" s="3" t="inlineStr">
        <is>
          <t>حرارة الفراخ</t>
        </is>
      </c>
      <c r="B13" s="14" t="inlineStr">
        <is>
          <t>32–35°م يوم 1</t>
        </is>
      </c>
      <c r="C13" s="5" t="inlineStr">
        <is>
          <t>−3°/أسبوع حتى 21°</t>
        </is>
      </c>
    </row>
    <row r="14" ht="28" customHeight="1">
      <c r="A14" s="3" t="inlineStr">
        <is>
          <t>الإضاءة</t>
        </is>
      </c>
      <c r="B14" s="14" t="inlineStr">
        <is>
          <t>14 ساعة للبياض</t>
        </is>
      </c>
      <c r="C14" s="5" t="inlineStr">
        <is>
          <t>LED شتاءً (اختياري)</t>
        </is>
      </c>
    </row>
    <row r="15" ht="28" customHeight="1">
      <c r="A15" s="3" t="inlineStr">
        <is>
          <t>الماء</t>
        </is>
      </c>
      <c r="B15" s="14" t="inlineStr">
        <is>
          <t>دائم</t>
        </is>
      </c>
      <c r="C15" s="5" t="inlineStr">
        <is>
          <t>6–8 ل/يوم، ×2 صيفاً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4" customWidth="1" min="4" max="4"/>
    <col width="46" customWidth="1" min="5" max="5"/>
  </cols>
  <sheetData>
    <row r="1" ht="26" customHeight="1">
      <c r="A1" s="1" t="inlineStr">
        <is>
          <t>جدول الفقس الطبيعي الموسمي — ≈ 80 كتكوت/سنة</t>
        </is>
      </c>
    </row>
    <row r="3">
      <c r="A3" s="11" t="inlineStr">
        <is>
          <t>أولا: علامات الجعال والتحضير</t>
        </is>
      </c>
      <c r="B3" s="12" t="n"/>
      <c r="C3" s="12" t="n"/>
      <c r="D3" s="12" t="n"/>
      <c r="E3" s="12" t="n"/>
    </row>
    <row r="4" ht="32" customHeight="1">
      <c r="A4" s="3" t="inlineStr">
        <is>
          <t>علامات الجعال</t>
        </is>
      </c>
      <c r="B4" s="5" t="inlineStr">
        <is>
          <t>تبيت في العش، تنفش، تنقر عند اللمس، ترفض الخروج — فيفري إلى جوان</t>
        </is>
      </c>
    </row>
    <row r="5" ht="32" customHeight="1">
      <c r="A5" s="3" t="inlineStr">
        <is>
          <t>صندوق الجعال</t>
        </is>
      </c>
      <c r="B5" s="5" t="inlineStr">
        <is>
          <t>منفصل معتم 40×40×40 سم، فرشة قش محفوّرة، ماء وعلف على الباب</t>
        </is>
      </c>
    </row>
    <row r="6" ht="32" customHeight="1">
      <c r="A6" s="3" t="inlineStr">
        <is>
          <t>بيض التفريخ</t>
        </is>
      </c>
      <c r="B6" s="5" t="inlineStr">
        <is>
          <t>طازج ≤7 أيام، متوسط الحجم، 14–18° بوضع مائل — لا يُغسل</t>
        </is>
      </c>
    </row>
    <row r="7" ht="32" customHeight="1">
      <c r="A7" s="3" t="inlineStr">
        <is>
          <t>قاعدة ذهبية</t>
        </is>
      </c>
      <c r="B7" s="5" t="inlineStr">
        <is>
          <t>لا تغيّر مكان الراقدة ولا تعالجها أثناء الرقاد</t>
        </is>
      </c>
    </row>
    <row r="9">
      <c r="A9" s="11" t="inlineStr">
        <is>
          <t>ثانيا: الأحضان الثلاثة</t>
        </is>
      </c>
      <c r="B9" s="12" t="n"/>
      <c r="C9" s="12" t="n"/>
      <c r="D9" s="12" t="n"/>
      <c r="E9" s="12" t="n"/>
    </row>
    <row r="10">
      <c r="A10" s="17" t="inlineStr">
        <is>
          <t>الدفعة</t>
        </is>
      </c>
      <c r="B10" s="17" t="inlineStr">
        <is>
          <t>وضع البيض</t>
        </is>
      </c>
      <c r="C10" s="17" t="inlineStr">
        <is>
          <t>التقنين</t>
        </is>
      </c>
      <c r="D10" s="17" t="inlineStr">
        <is>
          <t>الفقس</t>
        </is>
      </c>
      <c r="E10" s="17" t="inlineStr">
        <is>
          <t>ملاحظات</t>
        </is>
      </c>
    </row>
    <row r="11" ht="30" customHeight="1">
      <c r="A11" s="3" t="inlineStr">
        <is>
          <t>دفعة 1 (3×11 بيضة)</t>
        </is>
      </c>
      <c r="B11" s="14" t="inlineStr">
        <is>
          <t>منتصف مارس</t>
        </is>
      </c>
      <c r="C11" s="14" t="inlineStr">
        <is>
          <t>+7</t>
        </is>
      </c>
      <c r="D11" s="14" t="inlineStr">
        <is>
          <t>5 أفريل</t>
        </is>
      </c>
      <c r="E11" s="5" t="inlineStr">
        <is>
          <t>≈24 كتكوت — فطام 1 جوان</t>
        </is>
      </c>
    </row>
    <row r="12" ht="30" customHeight="1">
      <c r="A12" s="3" t="inlineStr">
        <is>
          <t>دفعة 2</t>
        </is>
      </c>
      <c r="B12" s="14" t="inlineStr">
        <is>
          <t>5 أفريل</t>
        </is>
      </c>
      <c r="C12" s="14" t="inlineStr">
        <is>
          <t>12 أفريل</t>
        </is>
      </c>
      <c r="D12" s="14" t="inlineStr">
        <is>
          <t>26 أفريل</t>
        </is>
      </c>
      <c r="E12" s="5" t="inlineStr">
        <is>
          <t>≈24 — فطام 22 جوان</t>
        </is>
      </c>
    </row>
    <row r="13" ht="30" customHeight="1">
      <c r="A13" s="3" t="inlineStr">
        <is>
          <t>دفعة 3</t>
        </is>
      </c>
      <c r="B13" s="14" t="inlineStr">
        <is>
          <t>25 أفريل</t>
        </is>
      </c>
      <c r="C13" s="14" t="inlineStr">
        <is>
          <t>2 ماي</t>
        </is>
      </c>
      <c r="D13" s="14" t="inlineStr">
        <is>
          <t>16 ماي</t>
        </is>
      </c>
      <c r="E13" s="5" t="inlineStr">
        <is>
          <t>≈24 — فطام 10 جويلية</t>
        </is>
      </c>
    </row>
    <row r="14" ht="30" customHeight="1">
      <c r="A14" s="3" t="inlineStr">
        <is>
          <t>المجموع</t>
        </is>
      </c>
      <c r="B14" s="14" t="inlineStr">
        <is>
          <t>99 بيضة</t>
        </is>
      </c>
      <c r="C14" s="14" t="inlineStr"/>
      <c r="D14" s="14" t="inlineStr">
        <is>
          <t>≈75–80 كتكوت</t>
        </is>
      </c>
      <c r="E14" s="5" t="inlineStr">
        <is>
          <t>يطابق فرضية الدراسة</t>
        </is>
      </c>
    </row>
    <row r="16">
      <c r="A16" s="11" t="inlineStr">
        <is>
          <t>ثالثا: الخط الزمني</t>
        </is>
      </c>
      <c r="B16" s="12" t="n"/>
      <c r="C16" s="12" t="n"/>
      <c r="D16" s="12" t="n"/>
      <c r="E16" s="12" t="n"/>
    </row>
    <row r="17" ht="28" customHeight="1">
      <c r="A17" s="30" t="inlineStr">
        <is>
          <t>يوم 0</t>
        </is>
      </c>
      <c r="B17" s="5" t="inlineStr">
        <is>
          <t>10–12 بيضة مساءً بعلامة قلم رصاص</t>
        </is>
      </c>
    </row>
    <row r="18" ht="28" customHeight="1">
      <c r="A18" s="30" t="inlineStr">
        <is>
          <t>يوم 7</t>
        </is>
      </c>
      <c r="B18" s="5" t="inlineStr">
        <is>
          <t>تقنين بالشمعة: أوردة حمراء = مخصب</t>
        </is>
      </c>
    </row>
    <row r="19" ht="28" customHeight="1">
      <c r="A19" s="30" t="inlineStr">
        <is>
          <t>يوم 19–21</t>
        </is>
      </c>
      <c r="B19" s="5" t="inlineStr">
        <is>
          <t>الفقس دون إزعاج</t>
        </is>
      </c>
    </row>
    <row r="20" ht="28" customHeight="1">
      <c r="A20" s="30" t="inlineStr">
        <is>
          <t>+24–48 س</t>
        </is>
      </c>
      <c r="B20" s="5" t="inlineStr">
        <is>
          <t>نقل الكتاكيت مع الأم لصندوق الفراخ</t>
        </is>
      </c>
    </row>
    <row r="21" ht="28" customHeight="1">
      <c r="A21" s="30" t="inlineStr">
        <is>
          <t>أسبوع 1–8</t>
        </is>
      </c>
      <c r="B21" s="5" t="inlineStr">
        <is>
          <t>بادئ 20% بروتين؛ فارس أول أسبوعين؛ برّة من الأسبوع 4</t>
        </is>
      </c>
    </row>
    <row r="22" ht="28" customHeight="1">
      <c r="A22" s="30" t="inlineStr">
        <is>
          <t>أسبوع 8</t>
        </is>
      </c>
      <c r="B22" s="5" t="inlineStr">
        <is>
          <t>الفطام وفرز الذكور (ديكارول/وضحيات)</t>
        </is>
      </c>
    </row>
    <row r="24">
      <c r="A24" s="11" t="inlineStr">
        <is>
          <t>رابعا: إدارة الجعّالات</t>
        </is>
      </c>
      <c r="B24" s="12" t="n"/>
      <c r="C24" s="12" t="n"/>
      <c r="D24" s="12" t="n"/>
      <c r="E24" s="12" t="n"/>
    </row>
    <row r="25" ht="26" customHeight="1">
      <c r="A25" s="3" t="inlineStr">
        <is>
          <t>عدد الفقسات</t>
        </is>
      </c>
      <c r="B25" s="5" t="inlineStr">
        <is>
          <t>2–3 في الموسم كافية</t>
        </is>
      </c>
    </row>
    <row r="26" ht="26" customHeight="1">
      <c r="A26" s="3" t="inlineStr">
        <is>
          <t>كسر الجعال</t>
        </is>
      </c>
      <c r="B26" s="5" t="inlineStr">
        <is>
          <t>قفص مضيء مهوّى 3–4 أيام</t>
        </is>
      </c>
    </row>
    <row r="27" ht="26" customHeight="1">
      <c r="A27" s="3" t="inlineStr">
        <is>
          <t>الفصل</t>
        </is>
      </c>
      <c r="B27" s="5" t="inlineStr">
        <is>
          <t>الصندوق بعيد عن القطيع</t>
        </is>
      </c>
    </row>
    <row r="28" ht="26" customHeight="1">
      <c r="A28" s="3" t="inlineStr">
        <is>
          <t>السجل</t>
        </is>
      </c>
      <c r="B28" s="5" t="inlineStr">
        <is>
          <t>تاريخ وبيض وفاقس ونفوق لكل فقسة</t>
        </is>
      </c>
    </row>
  </sheetData>
  <mergeCells count="15">
    <mergeCell ref="B20:E20"/>
    <mergeCell ref="B17:E17"/>
    <mergeCell ref="B18:E18"/>
    <mergeCell ref="B26:E26"/>
    <mergeCell ref="B27:E27"/>
    <mergeCell ref="B4:E4"/>
    <mergeCell ref="B6:E6"/>
    <mergeCell ref="B21:E21"/>
    <mergeCell ref="B7:E7"/>
    <mergeCell ref="A1:E1"/>
    <mergeCell ref="B25:E25"/>
    <mergeCell ref="B5:E5"/>
    <mergeCell ref="B19:E19"/>
    <mergeCell ref="B28:E28"/>
    <mergeCell ref="B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rightToLeft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6" customWidth="1" min="4" max="4"/>
    <col width="44" customWidth="1" min="5" max="5"/>
  </cols>
  <sheetData>
    <row r="1" ht="26" customHeight="1">
      <c r="A1" s="1" t="inlineStr">
        <is>
          <t>خطة التغذية المختلطة — خلط منزلي</t>
        </is>
      </c>
    </row>
    <row r="3">
      <c r="A3" s="11" t="inlineStr">
        <is>
          <t>أولا: أسعار المواد الخام (د.ت/كغ)</t>
        </is>
      </c>
      <c r="B3" s="12" t="n"/>
      <c r="C3" s="12" t="n"/>
      <c r="D3" s="12" t="n"/>
      <c r="E3" s="12" t="n"/>
    </row>
    <row r="4">
      <c r="A4" s="5" t="inlineStr">
        <is>
          <t>شعير</t>
        </is>
      </c>
      <c r="B4" s="31" t="n">
        <v>0.9</v>
      </c>
      <c r="C4" s="14" t="inlineStr">
        <is>
          <t>د.ت/كغ</t>
        </is>
      </c>
      <c r="D4" s="5" t="inlineStr">
        <is>
          <t>سوق/فلاح</t>
        </is>
      </c>
    </row>
    <row r="5">
      <c r="A5" s="5" t="inlineStr">
        <is>
          <t>ذرة صفراء (الديوان)</t>
        </is>
      </c>
      <c r="B5" s="31" t="n">
        <v>0.87</v>
      </c>
      <c r="C5" s="14" t="inlineStr">
        <is>
          <t>د.ت/كغ</t>
        </is>
      </c>
      <c r="D5" s="5" t="inlineStr">
        <is>
          <t>866 د.ت/طن أوت 2026</t>
        </is>
      </c>
    </row>
    <row r="6">
      <c r="A6" s="5" t="inlineStr">
        <is>
          <t>نخالة قمح</t>
        </is>
      </c>
      <c r="B6" s="31" t="n">
        <v>0.6</v>
      </c>
      <c r="C6" s="14" t="inlineStr">
        <is>
          <t>د.ت/كغ</t>
        </is>
      </c>
      <c r="D6" s="5" t="inlineStr">
        <is>
          <t>المطاحن</t>
        </is>
      </c>
    </row>
    <row r="7">
      <c r="A7" s="5" t="inlineStr">
        <is>
          <t>كسب صويا 46%</t>
        </is>
      </c>
      <c r="B7" s="31" t="n">
        <v>2</v>
      </c>
      <c r="C7" s="14" t="inlineStr">
        <is>
          <t>د.ت/كغ</t>
        </is>
      </c>
      <c r="D7" s="5" t="inlineStr">
        <is>
          <t>مصانع الأعلاف بالكيلو</t>
        </is>
      </c>
    </row>
    <row r="8">
      <c r="A8" s="5" t="inlineStr">
        <is>
          <t>قواقع/أصداف</t>
        </is>
      </c>
      <c r="B8" s="31" t="n">
        <v>0.9</v>
      </c>
      <c r="C8" s="14" t="inlineStr">
        <is>
          <t>د.ت/كغ</t>
        </is>
      </c>
      <c r="D8" s="5" t="inlineStr">
        <is>
          <t>كالسيوم</t>
        </is>
      </c>
    </row>
    <row r="9">
      <c r="A9" s="5" t="inlineStr">
        <is>
          <t>بريمكس دواجن</t>
        </is>
      </c>
      <c r="B9" s="31" t="n">
        <v>40</v>
      </c>
      <c r="C9" s="14" t="inlineStr">
        <is>
          <t>د.ت/كغ</t>
        </is>
      </c>
      <c r="D9" s="5" t="inlineStr">
        <is>
          <t>نصف كغ لكل 100 كغ</t>
        </is>
      </c>
    </row>
    <row r="10">
      <c r="A10" s="5" t="inlineStr">
        <is>
          <t>ملح</t>
        </is>
      </c>
      <c r="B10" s="31" t="n">
        <v>0.5</v>
      </c>
      <c r="C10" s="14" t="inlineStr">
        <is>
          <t>د.ت/كغ</t>
        </is>
      </c>
      <c r="D10" s="5" t="inlineStr"/>
    </row>
    <row r="11">
      <c r="A11" s="5" t="inlineStr">
        <is>
          <t>علف واضع جاهز</t>
        </is>
      </c>
      <c r="B11" s="31" t="n">
        <v>2.4</v>
      </c>
      <c r="C11" s="14" t="inlineStr">
        <is>
          <t>د.ت/كغ</t>
        </is>
      </c>
      <c r="D11" s="5" t="inlineStr">
        <is>
          <t>للمقارنة</t>
        </is>
      </c>
    </row>
    <row r="12">
      <c r="A12" s="5" t="inlineStr">
        <is>
          <t>بادئ جاهز</t>
        </is>
      </c>
      <c r="B12" s="31" t="n">
        <v>2.6</v>
      </c>
      <c r="C12" s="14" t="inlineStr">
        <is>
          <t>د.ت/كغ</t>
        </is>
      </c>
      <c r="D12" s="5" t="inlineStr">
        <is>
          <t>للمقارنة</t>
        </is>
      </c>
    </row>
    <row r="13">
      <c r="A13" s="11" t="inlineStr">
        <is>
          <t>ثانيا: خلطة الواضعين — بروتين ≈14–15%</t>
        </is>
      </c>
      <c r="B13" s="12" t="n"/>
      <c r="C13" s="12" t="n"/>
      <c r="D13" s="12" t="n"/>
      <c r="E13" s="12" t="n"/>
    </row>
    <row r="14">
      <c r="A14" s="17" t="inlineStr">
        <is>
          <t>المادة</t>
        </is>
      </c>
      <c r="B14" s="17" t="inlineStr">
        <is>
          <t>كغ/100كغ</t>
        </is>
      </c>
      <c r="C14" s="17" t="inlineStr">
        <is>
          <t>سعر الكيلو</t>
        </is>
      </c>
      <c r="D14" s="17" t="inlineStr">
        <is>
          <t>التكلفة (د.ت)</t>
        </is>
      </c>
      <c r="E14" s="17" t="inlineStr">
        <is>
          <t>البروتين %</t>
        </is>
      </c>
    </row>
    <row r="15">
      <c r="A15" s="5" t="inlineStr">
        <is>
          <t>شعير</t>
        </is>
      </c>
      <c r="B15" s="32" t="n">
        <v>40</v>
      </c>
      <c r="C15" s="33">
        <f>$B$4</f>
        <v/>
      </c>
      <c r="D15" s="33">
        <f>B15*C15/100</f>
        <v/>
      </c>
      <c r="E15" s="34">
        <f>0.09*B15</f>
        <v/>
      </c>
    </row>
    <row r="16">
      <c r="A16" s="5" t="inlineStr">
        <is>
          <t>ذرة صفراء</t>
        </is>
      </c>
      <c r="B16" s="32" t="n">
        <v>30</v>
      </c>
      <c r="C16" s="33">
        <f>$B$5</f>
        <v/>
      </c>
      <c r="D16" s="33">
        <f>B16*C16/100</f>
        <v/>
      </c>
      <c r="E16" s="34">
        <f>0.08*B16</f>
        <v/>
      </c>
    </row>
    <row r="17">
      <c r="A17" s="5" t="inlineStr">
        <is>
          <t>نخالة</t>
        </is>
      </c>
      <c r="B17" s="32" t="n">
        <v>10</v>
      </c>
      <c r="C17" s="33">
        <f>$B$6</f>
        <v/>
      </c>
      <c r="D17" s="33">
        <f>B17*C17/100</f>
        <v/>
      </c>
      <c r="E17" s="34">
        <f>0.15*B17</f>
        <v/>
      </c>
    </row>
    <row r="18">
      <c r="A18" s="5" t="inlineStr">
        <is>
          <t>كسب صويا</t>
        </is>
      </c>
      <c r="B18" s="32" t="n">
        <v>15</v>
      </c>
      <c r="C18" s="33">
        <f>$B$7</f>
        <v/>
      </c>
      <c r="D18" s="33">
        <f>B18*C18/100</f>
        <v/>
      </c>
      <c r="E18" s="34">
        <f>0.46*B18</f>
        <v/>
      </c>
    </row>
    <row r="19">
      <c r="A19" s="5" t="inlineStr">
        <is>
          <t>قواقع</t>
        </is>
      </c>
      <c r="B19" s="32" t="n">
        <v>4</v>
      </c>
      <c r="C19" s="33">
        <f>$B$8</f>
        <v/>
      </c>
      <c r="D19" s="33">
        <f>B19*C19/100</f>
        <v/>
      </c>
      <c r="E19" s="34">
        <f>0.0*B19</f>
        <v/>
      </c>
    </row>
    <row r="20">
      <c r="A20" s="5" t="inlineStr">
        <is>
          <t>بريمكس</t>
        </is>
      </c>
      <c r="B20" s="32" t="n">
        <v>0.5</v>
      </c>
      <c r="C20" s="33">
        <f>$B$9</f>
        <v/>
      </c>
      <c r="D20" s="33">
        <f>B20*C20/100</f>
        <v/>
      </c>
      <c r="E20" s="34">
        <f>0.0*B20</f>
        <v/>
      </c>
    </row>
    <row r="21">
      <c r="A21" s="5" t="inlineStr">
        <is>
          <t>ملح</t>
        </is>
      </c>
      <c r="B21" s="32" t="n">
        <v>0.5</v>
      </c>
      <c r="C21" s="33">
        <f>$B$10</f>
        <v/>
      </c>
      <c r="D21" s="33">
        <f>B21*C21/100</f>
        <v/>
      </c>
      <c r="E21" s="34">
        <f>0.0*B21</f>
        <v/>
      </c>
    </row>
    <row r="22">
      <c r="A22" s="20" t="inlineStr">
        <is>
          <t>المجموع</t>
        </is>
      </c>
      <c r="B22" s="35">
        <f>SUM(B15:B21)</f>
        <v/>
      </c>
      <c r="C22" s="12" t="n"/>
      <c r="D22" s="36">
        <f>SUM(D15:D21)</f>
        <v/>
      </c>
      <c r="E22" s="37">
        <f>SUM(E15:E21)</f>
        <v/>
      </c>
    </row>
    <row r="23">
      <c r="A23" s="3" t="inlineStr">
        <is>
          <t>كلفة كيلو الخلطة</t>
        </is>
      </c>
      <c r="B23" s="38">
        <f>D22</f>
        <v/>
      </c>
      <c r="C23" s="5" t="n"/>
      <c r="D23" s="5" t="inlineStr">
        <is>
          <t>اسحق أو اشترِ مجروشاً</t>
        </is>
      </c>
    </row>
    <row r="24">
      <c r="A24" s="3" t="inlineStr">
        <is>
          <t>نفس الكيلو جاهزاً</t>
        </is>
      </c>
      <c r="B24" s="38">
        <f>$B$11</f>
        <v/>
      </c>
      <c r="C24" s="5" t="n"/>
      <c r="D24" s="5" t="inlineStr">
        <is>
          <t>علف مركب تجاري</t>
        </is>
      </c>
    </row>
    <row r="25">
      <c r="A25" s="3" t="inlineStr">
        <is>
          <t>التوفير لكل كيلو</t>
        </is>
      </c>
      <c r="B25" s="38">
        <f>B24-B23</f>
        <v/>
      </c>
      <c r="C25" s="5" t="n"/>
      <c r="D25" s="5" t="inlineStr">
        <is>
          <t>≈1.18 د.ت أرخص (49%)</t>
        </is>
      </c>
    </row>
    <row r="26">
      <c r="A26" s="3" t="inlineStr">
        <is>
          <t>التوفير السنوي (د.ت)</t>
        </is>
      </c>
      <c r="B26" s="39">
        <f>B25*365*33*0.09</f>
        <v/>
      </c>
      <c r="D26" s="5" t="inlineStr">
        <is>
          <t>مقابل الواضع الجاهز</t>
        </is>
      </c>
    </row>
    <row r="28">
      <c r="A28" s="11" t="inlineStr">
        <is>
          <t>ثالثا: خلطة الفتيان 0–8 أسابيع — بروتين ≈20–21%</t>
        </is>
      </c>
      <c r="B28" s="12" t="n"/>
      <c r="C28" s="12" t="n"/>
      <c r="D28" s="12" t="n"/>
      <c r="E28" s="12" t="n"/>
    </row>
    <row r="29">
      <c r="A29" s="17" t="inlineStr">
        <is>
          <t>المادة</t>
        </is>
      </c>
      <c r="B29" s="17" t="inlineStr">
        <is>
          <t>كغ/100كغ</t>
        </is>
      </c>
      <c r="C29" s="17" t="inlineStr">
        <is>
          <t>سعر الكيلو</t>
        </is>
      </c>
      <c r="D29" s="17" t="inlineStr">
        <is>
          <t>التكلفة (د.ت)</t>
        </is>
      </c>
      <c r="E29" s="17" t="inlineStr">
        <is>
          <t>البروتين %</t>
        </is>
      </c>
    </row>
    <row r="30">
      <c r="A30" s="5" t="inlineStr">
        <is>
          <t>ذرة صفراء</t>
        </is>
      </c>
      <c r="B30" s="32" t="n">
        <v>38</v>
      </c>
      <c r="C30" s="33">
        <f>$B$5</f>
        <v/>
      </c>
      <c r="D30" s="33">
        <f>B30*C30/100</f>
        <v/>
      </c>
      <c r="E30" s="34">
        <f>0.08*B30</f>
        <v/>
      </c>
    </row>
    <row r="31">
      <c r="A31" s="5" t="inlineStr">
        <is>
          <t>شعير</t>
        </is>
      </c>
      <c r="B31" s="32" t="n">
        <v>18</v>
      </c>
      <c r="C31" s="33">
        <f>$B$4</f>
        <v/>
      </c>
      <c r="D31" s="33">
        <f>B31*C31/100</f>
        <v/>
      </c>
      <c r="E31" s="34">
        <f>0.09*B31</f>
        <v/>
      </c>
    </row>
    <row r="32">
      <c r="A32" s="5" t="inlineStr">
        <is>
          <t>كسب صويا</t>
        </is>
      </c>
      <c r="B32" s="32" t="n">
        <v>32</v>
      </c>
      <c r="C32" s="33">
        <f>$B$7</f>
        <v/>
      </c>
      <c r="D32" s="33">
        <f>B32*C32/100</f>
        <v/>
      </c>
      <c r="E32" s="34">
        <f>0.46*B32</f>
        <v/>
      </c>
    </row>
    <row r="33">
      <c r="A33" s="5" t="inlineStr">
        <is>
          <t>نخالة</t>
        </is>
      </c>
      <c r="B33" s="32" t="n">
        <v>9.699999999999999</v>
      </c>
      <c r="C33" s="33">
        <f>$B$6</f>
        <v/>
      </c>
      <c r="D33" s="33">
        <f>B33*C33/100</f>
        <v/>
      </c>
      <c r="E33" s="34">
        <f>0.15*B33</f>
        <v/>
      </c>
    </row>
    <row r="34">
      <c r="A34" s="5" t="inlineStr">
        <is>
          <t>قواقع</t>
        </is>
      </c>
      <c r="B34" s="32" t="n">
        <v>1.5</v>
      </c>
      <c r="C34" s="33">
        <f>$B$8</f>
        <v/>
      </c>
      <c r="D34" s="33">
        <f>B34*C34/100</f>
        <v/>
      </c>
      <c r="E34" s="34">
        <f>0.0*B34</f>
        <v/>
      </c>
    </row>
    <row r="35">
      <c r="A35" s="5" t="inlineStr">
        <is>
          <t>بريمكس</t>
        </is>
      </c>
      <c r="B35" s="32" t="n">
        <v>0.5</v>
      </c>
      <c r="C35" s="33">
        <f>$B$9</f>
        <v/>
      </c>
      <c r="D35" s="33">
        <f>B35*C35/100</f>
        <v/>
      </c>
      <c r="E35" s="34">
        <f>0.0*B35</f>
        <v/>
      </c>
    </row>
    <row r="36">
      <c r="A36" s="5" t="inlineStr">
        <is>
          <t>ملح</t>
        </is>
      </c>
      <c r="B36" s="32" t="n">
        <v>0.3</v>
      </c>
      <c r="C36" s="33">
        <f>$B$10</f>
        <v/>
      </c>
      <c r="D36" s="33">
        <f>B36*C36/100</f>
        <v/>
      </c>
      <c r="E36" s="34">
        <f>0.0*B36</f>
        <v/>
      </c>
    </row>
    <row r="37">
      <c r="A37" s="20" t="inlineStr">
        <is>
          <t>المجموع</t>
        </is>
      </c>
      <c r="B37" s="35">
        <f>SUM(B30:B36)</f>
        <v/>
      </c>
      <c r="C37" s="12" t="n"/>
      <c r="D37" s="36">
        <f>SUM(D30:D36)</f>
        <v/>
      </c>
      <c r="E37" s="37">
        <f>SUM(E30:E36)</f>
        <v/>
      </c>
    </row>
    <row r="38">
      <c r="A38" s="3" t="inlineStr">
        <is>
          <t>كلفة كيلو الخلطة</t>
        </is>
      </c>
      <c r="B38" s="38">
        <f>D37</f>
        <v/>
      </c>
      <c r="C38" s="5" t="n"/>
      <c r="D38" s="5" t="inlineStr">
        <is>
          <t>من الأسبوع 6: صويا 25% (كسر)</t>
        </is>
      </c>
    </row>
    <row r="39">
      <c r="A39" s="3" t="inlineStr">
        <is>
          <t>نفس الكيلو جاهزاً</t>
        </is>
      </c>
      <c r="B39" s="38">
        <f>$B$12</f>
        <v/>
      </c>
      <c r="C39" s="5" t="n"/>
      <c r="D39" s="5" t="inlineStr">
        <is>
          <t>علف مركب تجاري</t>
        </is>
      </c>
    </row>
    <row r="40">
      <c r="A40" s="3" t="inlineStr">
        <is>
          <t>التوفير لكل كيلو</t>
        </is>
      </c>
      <c r="B40" s="38">
        <f>B39-B38</f>
        <v/>
      </c>
      <c r="C40" s="5" t="n"/>
      <c r="D40" s="5" t="inlineStr">
        <is>
          <t>≈1.19 د.ت أرخص (46%)</t>
        </is>
      </c>
    </row>
    <row r="41">
      <c r="A41" s="3" t="inlineStr">
        <is>
          <t>التوفير السنوي على 450 كغ (د.ت)</t>
        </is>
      </c>
      <c r="B41" s="39">
        <f>B40*450</f>
        <v/>
      </c>
      <c r="D41" s="5" t="inlineStr">
        <is>
          <t>مقابل البادئ الجاهز</t>
        </is>
      </c>
    </row>
    <row r="43">
      <c r="A43" s="11" t="inlineStr">
        <is>
          <t>رابعا: القواعد اليومية</t>
        </is>
      </c>
      <c r="B43" s="12" t="n"/>
      <c r="C43" s="12" t="n"/>
      <c r="D43" s="12" t="n"/>
      <c r="E43" s="12" t="n"/>
    </row>
    <row r="44" ht="28" customHeight="1">
      <c r="A44" s="3" t="inlineStr">
        <is>
          <t>البرنامج</t>
        </is>
      </c>
      <c r="B44" s="5" t="inlineStr">
        <is>
          <t>صباحاً نصف الخلطة ومساءً الباقي؛ شتاءً حبوب مسائية</t>
        </is>
      </c>
    </row>
    <row r="45" ht="28" customHeight="1">
      <c r="A45" s="3" t="inlineStr">
        <is>
          <t>بقايا المائدة</t>
        </is>
      </c>
      <c r="B45" s="5" t="inlineStr">
        <is>
          <t>≤ ثلث الوجبة: خبز منقوع، كسكسي، خضار</t>
        </is>
      </c>
    </row>
    <row r="46" ht="28" customHeight="1">
      <c r="A46" s="3" t="inlineStr">
        <is>
          <t>ممنوعات</t>
        </is>
      </c>
      <c r="B46" s="5" t="inlineStr">
        <is>
          <t>ملح زائد، أفوكادو، بطاطس نيئة، عفن</t>
        </is>
      </c>
    </row>
    <row r="47" ht="28" customHeight="1">
      <c r="A47" s="3" t="inlineStr">
        <is>
          <t>حصى القونصة</t>
        </is>
      </c>
      <c r="B47" s="5" t="inlineStr">
        <is>
          <t>حوض دائم</t>
        </is>
      </c>
    </row>
    <row r="48" ht="28" customHeight="1">
      <c r="A48" s="3" t="inlineStr">
        <is>
          <t>الأخضر</t>
        </is>
      </c>
      <c r="B48" s="5" t="inlineStr">
        <is>
          <t>برسيم يومياً — يرفع جودة البيضة</t>
        </is>
      </c>
    </row>
    <row r="49" ht="28" customHeight="1">
      <c r="A49" s="3" t="inlineStr">
        <is>
          <t>الكالسيوم</t>
        </is>
      </c>
      <c r="B49" s="5" t="inlineStr">
        <is>
          <t>قواقع دائمة للواضعين</t>
        </is>
      </c>
    </row>
    <row r="50" ht="28" customHeight="1">
      <c r="A50" s="3" t="inlineStr">
        <is>
          <t>الماء</t>
        </is>
      </c>
      <c r="B50" s="5" t="inlineStr">
        <is>
          <t>نظيف دائم؛ صيفاً مرتين مع فيتامين C</t>
        </is>
      </c>
    </row>
    <row r="51" ht="28" customHeight="1">
      <c r="A51" s="3" t="inlineStr">
        <is>
          <t>التخزين</t>
        </is>
      </c>
      <c r="B51" s="5" t="inlineStr">
        <is>
          <t>≤3–4 أسابيع؛ اخلط 40–50 كغ في المرة</t>
        </is>
      </c>
    </row>
  </sheetData>
  <mergeCells count="26">
    <mergeCell ref="D10:E10"/>
    <mergeCell ref="B49:E49"/>
    <mergeCell ref="A1:E1"/>
    <mergeCell ref="D40:E40"/>
    <mergeCell ref="B51:E51"/>
    <mergeCell ref="D6:E6"/>
    <mergeCell ref="B45:E45"/>
    <mergeCell ref="B50:E50"/>
    <mergeCell ref="D11:E11"/>
    <mergeCell ref="B47:E47"/>
    <mergeCell ref="D41:E41"/>
    <mergeCell ref="B46:E46"/>
    <mergeCell ref="D7:E7"/>
    <mergeCell ref="B48:E48"/>
    <mergeCell ref="D4:E4"/>
    <mergeCell ref="D9:E9"/>
    <mergeCell ref="D12:E12"/>
    <mergeCell ref="D39:E39"/>
    <mergeCell ref="D8:E8"/>
    <mergeCell ref="D25:E25"/>
    <mergeCell ref="D24:E24"/>
    <mergeCell ref="D5:E5"/>
    <mergeCell ref="D23:E23"/>
    <mergeCell ref="D38:E38"/>
    <mergeCell ref="B44:E44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2026-09-05T10:32:47Z</dcterms:created>
  <dcterms:modified xsi:type="dcterms:W3CDTF">2026-09-05T10:32:47Z</dcterms:modified>
</cp:coreProperties>
</file>